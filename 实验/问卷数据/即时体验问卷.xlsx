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柯尧\Desktop\实验\问卷数据\"/>
    </mc:Choice>
  </mc:AlternateContent>
  <xr:revisionPtr revIDLastSave="0" documentId="13_ncr:1_{0DA5238E-C5A4-4A95-9C35-EBB36A2BD4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总表" sheetId="1" r:id="rId1"/>
    <sheet name="诗色" sheetId="2" r:id="rId2"/>
    <sheet name="搜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3" l="1"/>
  <c r="J8" i="3"/>
  <c r="K8" i="3"/>
  <c r="L8" i="3"/>
  <c r="M8" i="3"/>
  <c r="N8" i="3"/>
  <c r="P8" i="3"/>
  <c r="Q8" i="3"/>
  <c r="R8" i="3"/>
  <c r="S8" i="3"/>
  <c r="T8" i="3"/>
  <c r="U8" i="3"/>
  <c r="V8" i="3"/>
  <c r="W8" i="3"/>
  <c r="X8" i="3"/>
  <c r="H8" i="3"/>
  <c r="I8" i="2"/>
  <c r="J8" i="2"/>
  <c r="K8" i="2"/>
  <c r="L8" i="2"/>
  <c r="M8" i="2"/>
  <c r="N8" i="2"/>
  <c r="P8" i="2"/>
  <c r="Q8" i="2"/>
  <c r="R8" i="2"/>
  <c r="S8" i="2"/>
  <c r="T8" i="2"/>
  <c r="U8" i="2"/>
  <c r="V8" i="2"/>
  <c r="W8" i="2"/>
  <c r="X8" i="2"/>
  <c r="H8" i="2"/>
  <c r="J14" i="1"/>
  <c r="K14" i="1"/>
  <c r="L14" i="1"/>
  <c r="M14" i="1"/>
  <c r="N14" i="1"/>
  <c r="P14" i="1"/>
  <c r="Q14" i="1"/>
  <c r="R14" i="1"/>
  <c r="S14" i="1"/>
  <c r="T14" i="1"/>
  <c r="U14" i="1"/>
  <c r="V14" i="1"/>
  <c r="W14" i="1"/>
  <c r="X14" i="1"/>
  <c r="I14" i="1"/>
  <c r="H14" i="1"/>
</calcChain>
</file>

<file path=xl/sharedStrings.xml><?xml version="1.0" encoding="utf-8"?>
<sst xmlns="http://schemas.openxmlformats.org/spreadsheetml/2006/main" count="243" uniqueCount="104">
  <si>
    <t>序号</t>
  </si>
  <si>
    <t>提交答卷时间</t>
  </si>
  <si>
    <t>所用时间</t>
  </si>
  <si>
    <t>来源</t>
  </si>
  <si>
    <t>来源详情</t>
  </si>
  <si>
    <t>来自IP</t>
  </si>
  <si>
    <t>总分</t>
  </si>
  <si>
    <t>1、该工具帮助我高效完成本次任务</t>
  </si>
  <si>
    <t>2、该工具提供的信息对我理解色彩意象帮助很大</t>
  </si>
  <si>
    <t>3、我在使用该工具时操作顺畅、易上手</t>
  </si>
  <si>
    <t>4、该工具检索结果精准，无关内容少</t>
  </si>
  <si>
    <t>5、该工具能帮我清晰理解色彩、诗句与意象的关系</t>
  </si>
  <si>
    <t>6、使用该工具时我的认知负担较小、不用费力思考</t>
  </si>
  <si>
    <t>7、该工具便于我进行多诗句、多语境的色彩含义对比</t>
  </si>
  <si>
    <t>8、使用该工具遇到的最大困难</t>
  </si>
  <si>
    <t>9、该工具的突出优势(检索快速便捷)</t>
  </si>
  <si>
    <t>9、(诗词注释与意象内容全面可信)</t>
  </si>
  <si>
    <t>9、(页面布局清晰、信息呈现直观)</t>
  </si>
  <si>
    <t>9、(色彩—诗句—意象关联可视化强)</t>
  </si>
  <si>
    <t>9、(便于归纳语义、整理论证依据)</t>
  </si>
  <si>
    <t>9、(无明显优势)</t>
  </si>
  <si>
    <t>9、(其他)</t>
  </si>
  <si>
    <t>10、对自己本次任务完成质量的打分</t>
  </si>
  <si>
    <t>2026/5/9 16:30:16</t>
  </si>
  <si>
    <t>229秒</t>
  </si>
  <si>
    <t>手机提交</t>
  </si>
  <si>
    <t>直接访问</t>
  </si>
  <si>
    <t>223.104.122.104(湖北-武汉)</t>
  </si>
  <si>
    <t>2026/5/9 17:14:25</t>
  </si>
  <si>
    <t>180秒</t>
  </si>
  <si>
    <t>链接</t>
  </si>
  <si>
    <t>58.48.27.51(湖北-武汉)</t>
  </si>
  <si>
    <t>2026/5/9 19:55:12</t>
  </si>
  <si>
    <t>116秒</t>
  </si>
  <si>
    <t>微信</t>
  </si>
  <si>
    <t>N/A</t>
  </si>
  <si>
    <t>58.48.27.98(湖北-武汉)</t>
  </si>
  <si>
    <t>2026/5/9 20:52:02</t>
  </si>
  <si>
    <t>152秒</t>
  </si>
  <si>
    <t>58.48.27.95(湖北-武汉)</t>
  </si>
  <si>
    <t>2026/5/9 22:24:25</t>
  </si>
  <si>
    <t>107秒</t>
  </si>
  <si>
    <t>58.48.27.204(湖北-武汉)</t>
  </si>
  <si>
    <t>2026/5/10 10:29:24</t>
  </si>
  <si>
    <t>117秒</t>
  </si>
  <si>
    <t>27.149.54.248(福建-福州)</t>
  </si>
  <si>
    <t>2026/5/10 17:28:21</t>
  </si>
  <si>
    <t>186秒</t>
  </si>
  <si>
    <t>58.48.27.254(湖北-武汉)</t>
  </si>
  <si>
    <t>2026/5/10 18:28:30</t>
  </si>
  <si>
    <t>88秒</t>
  </si>
  <si>
    <t>58.48.27.55(湖北-武汉)</t>
  </si>
  <si>
    <t>2026/5/10 21:31:18</t>
  </si>
  <si>
    <t>177秒</t>
  </si>
  <si>
    <t>58.48.27.209(湖北-武汉)</t>
  </si>
  <si>
    <t>2026/5/10 22:24:03</t>
  </si>
  <si>
    <t>89秒</t>
  </si>
  <si>
    <t>39.144.249.58(福建-漳州)</t>
  </si>
  <si>
    <t>2026/5/12 20:25:50</t>
  </si>
  <si>
    <t>75秒</t>
  </si>
  <si>
    <t>112.47.160.154(福建-泉州)</t>
  </si>
  <si>
    <t>2026/5/12 21:30:01</t>
  </si>
  <si>
    <t>73秒</t>
  </si>
  <si>
    <t>111.181.70.70(湖北-武汉)</t>
  </si>
  <si>
    <t>完成时间</t>
    <phoneticPr fontId="2" type="noConversion"/>
  </si>
  <si>
    <t>平均：</t>
  </si>
  <si>
    <t>平均：</t>
    <phoneticPr fontId="2" type="noConversion"/>
  </si>
  <si>
    <t>4/5</t>
    <phoneticPr fontId="2" type="noConversion"/>
  </si>
  <si>
    <t>5/6</t>
  </si>
  <si>
    <t>5/6</t>
    <phoneticPr fontId="2" type="noConversion"/>
  </si>
  <si>
    <t>平均</t>
  </si>
  <si>
    <t>平均</t>
    <phoneticPr fontId="2" type="noConversion"/>
  </si>
  <si>
    <t>2/4</t>
  </si>
  <si>
    <t>2/4</t>
    <phoneticPr fontId="2" type="noConversion"/>
  </si>
  <si>
    <t>搜韵</t>
    <phoneticPr fontId="2" type="noConversion"/>
  </si>
  <si>
    <t>诗色</t>
    <phoneticPr fontId="2" type="noConversion"/>
  </si>
  <si>
    <t>时间</t>
    <phoneticPr fontId="2" type="noConversion"/>
  </si>
  <si>
    <t>Task Efficiency</t>
  </si>
  <si>
    <t>Retrieval Precision</t>
  </si>
  <si>
    <t>Imagery Support</t>
  </si>
  <si>
    <t>Usability</t>
  </si>
  <si>
    <t>Relational Support</t>
  </si>
  <si>
    <t>Cognitive Load</t>
  </si>
  <si>
    <t>Comparison Support</t>
  </si>
  <si>
    <t>维度</t>
  </si>
  <si>
    <t>工具</t>
  </si>
  <si>
    <t>平均分</t>
  </si>
  <si>
    <t>标准差</t>
  </si>
  <si>
    <t>标准误</t>
  </si>
  <si>
    <t>95% 置信区间误差量（±）</t>
  </si>
  <si>
    <t>1. Task Efficiency</t>
  </si>
  <si>
    <t>Sou-yun</t>
  </si>
  <si>
    <t>VerseColor</t>
  </si>
  <si>
    <t>2. Imagery Support</t>
  </si>
  <si>
    <t>3. Usability</t>
  </si>
  <si>
    <t>4. Retrieval Precision</t>
  </si>
  <si>
    <t>5. Relational Support</t>
  </si>
  <si>
    <t>6. Cognitive Load</t>
  </si>
  <si>
    <t>7. Comparison Support</t>
  </si>
  <si>
    <t>Fast Retrieval</t>
  </si>
  <si>
    <t>Comprehensive Annotations</t>
    <phoneticPr fontId="2" type="noConversion"/>
  </si>
  <si>
    <t>Clear &amp; Intuitive Layout</t>
  </si>
  <si>
    <t>Strong Color-Imagery Visualization</t>
  </si>
  <si>
    <t>Facilitates Induction &amp;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</si>
</sst>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0_ 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宋体"/>
      <family val="2"/>
      <charset val="134"/>
    </font>
    <font>
      <sz val="10"/>
      <color rgb="FFFF0000"/>
      <name val="宋体"/>
      <family val="2"/>
      <charset val="134"/>
    </font>
    <font>
      <b/>
      <sz val="10"/>
      <color theme="1"/>
      <name val="Arial"/>
      <family val="2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0" fillId="2" borderId="0" xfId="0" applyFill="1"/>
    <xf numFmtId="0" fontId="0" fillId="3" borderId="0" xfId="0" applyFill="1"/>
    <xf numFmtId="176" fontId="0" fillId="0" borderId="0" xfId="0" applyNumberFormat="1"/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7-Dimension</a:t>
            </a:r>
            <a:r>
              <a:rPr lang="en-US" altLang="zh-CN" baseline="0"/>
              <a:t> Task Support Scores of Two Poetry Tools</a:t>
            </a:r>
            <a:endParaRPr lang="zh-CN" altLang="en-US"/>
          </a:p>
        </c:rich>
      </c:tx>
      <c:layout>
        <c:manualLayout>
          <c:xMode val="edge"/>
          <c:yMode val="edge"/>
          <c:x val="0.14670783146337649"/>
          <c:y val="1.4798245614035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7883784909018187E-2"/>
          <c:y val="0.19072751322751322"/>
          <c:w val="0.88617306766158188"/>
          <c:h val="0.54051984126984132"/>
        </c:manualLayout>
      </c:layout>
      <c:barChart>
        <c:barDir val="col"/>
        <c:grouping val="clustered"/>
        <c:varyColors val="0"/>
        <c:ser>
          <c:idx val="0"/>
          <c:order val="0"/>
          <c:tx>
            <c:v>Sou-yun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总表!$W$24:$W$30</c:f>
                <c:numCache>
                  <c:formatCode>General</c:formatCode>
                  <c:ptCount val="7"/>
                  <c:pt idx="0">
                    <c:v>0.61</c:v>
                  </c:pt>
                  <c:pt idx="1">
                    <c:v>0.94</c:v>
                  </c:pt>
                  <c:pt idx="2">
                    <c:v>0.94</c:v>
                  </c:pt>
                  <c:pt idx="3">
                    <c:v>0.61</c:v>
                  </c:pt>
                  <c:pt idx="4">
                    <c:v>0.88</c:v>
                  </c:pt>
                  <c:pt idx="5">
                    <c:v>0.65</c:v>
                  </c:pt>
                  <c:pt idx="6">
                    <c:v>0.94</c:v>
                  </c:pt>
                </c:numCache>
              </c:numRef>
            </c:plus>
            <c:minus>
              <c:numRef>
                <c:f>总表!$W$24:$W$30</c:f>
                <c:numCache>
                  <c:formatCode>General</c:formatCode>
                  <c:ptCount val="7"/>
                  <c:pt idx="0">
                    <c:v>0.61</c:v>
                  </c:pt>
                  <c:pt idx="1">
                    <c:v>0.94</c:v>
                  </c:pt>
                  <c:pt idx="2">
                    <c:v>0.94</c:v>
                  </c:pt>
                  <c:pt idx="3">
                    <c:v>0.61</c:v>
                  </c:pt>
                  <c:pt idx="4">
                    <c:v>0.88</c:v>
                  </c:pt>
                  <c:pt idx="5">
                    <c:v>0.65</c:v>
                  </c:pt>
                  <c:pt idx="6">
                    <c:v>0.94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总表!$H$17:$N$17</c:f>
              <c:strCache>
                <c:ptCount val="7"/>
                <c:pt idx="0">
                  <c:v>Task Efficiency</c:v>
                </c:pt>
                <c:pt idx="1">
                  <c:v>Imagery Support</c:v>
                </c:pt>
                <c:pt idx="2">
                  <c:v>Usability</c:v>
                </c:pt>
                <c:pt idx="3">
                  <c:v>Retrieval Precision</c:v>
                </c:pt>
                <c:pt idx="4">
                  <c:v>Relational Support</c:v>
                </c:pt>
                <c:pt idx="5">
                  <c:v>Cognitive Load</c:v>
                </c:pt>
                <c:pt idx="6">
                  <c:v>Comparison Support</c:v>
                </c:pt>
              </c:strCache>
            </c:strRef>
          </c:cat>
          <c:val>
            <c:numRef>
              <c:f>总表!$H$18:$N$18</c:f>
              <c:numCache>
                <c:formatCode>0.00_ </c:formatCode>
                <c:ptCount val="7"/>
                <c:pt idx="0">
                  <c:v>3.8333333333333335</c:v>
                </c:pt>
                <c:pt idx="1">
                  <c:v>3.1666666666666665</c:v>
                </c:pt>
                <c:pt idx="2">
                  <c:v>4.666666666666667</c:v>
                </c:pt>
                <c:pt idx="3">
                  <c:v>4.166666666666667</c:v>
                </c:pt>
                <c:pt idx="4">
                  <c:v>3</c:v>
                </c:pt>
                <c:pt idx="5">
                  <c:v>3.3333333333333335</c:v>
                </c:pt>
                <c:pt idx="6">
                  <c:v>3.8333333333333335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3-4F56-99E5-69EAC4ABD9A9}"/>
            </c:ext>
          </c:extLst>
        </c:ser>
        <c:ser>
          <c:idx val="1"/>
          <c:order val="1"/>
          <c:tx>
            <c:v>VerseColor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总表!$X$24:$X$30</c:f>
                <c:numCache>
                  <c:formatCode>General</c:formatCode>
                  <c:ptCount val="7"/>
                  <c:pt idx="0">
                    <c:v>0.42</c:v>
                  </c:pt>
                  <c:pt idx="1">
                    <c:v>0.42</c:v>
                  </c:pt>
                  <c:pt idx="2">
                    <c:v>0.94</c:v>
                  </c:pt>
                  <c:pt idx="3">
                    <c:v>0.33</c:v>
                  </c:pt>
                  <c:pt idx="4">
                    <c:v>0.42</c:v>
                  </c:pt>
                  <c:pt idx="5">
                    <c:v>0.65</c:v>
                  </c:pt>
                  <c:pt idx="6">
                    <c:v>0.86</c:v>
                  </c:pt>
                </c:numCache>
              </c:numRef>
            </c:plus>
            <c:minus>
              <c:numRef>
                <c:f>总表!$X$24:$X$30</c:f>
                <c:numCache>
                  <c:formatCode>General</c:formatCode>
                  <c:ptCount val="7"/>
                  <c:pt idx="0">
                    <c:v>0.42</c:v>
                  </c:pt>
                  <c:pt idx="1">
                    <c:v>0.42</c:v>
                  </c:pt>
                  <c:pt idx="2">
                    <c:v>0.94</c:v>
                  </c:pt>
                  <c:pt idx="3">
                    <c:v>0.33</c:v>
                  </c:pt>
                  <c:pt idx="4">
                    <c:v>0.42</c:v>
                  </c:pt>
                  <c:pt idx="5">
                    <c:v>0.65</c:v>
                  </c:pt>
                  <c:pt idx="6">
                    <c:v>0.86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总表!$H$17:$N$17</c:f>
              <c:strCache>
                <c:ptCount val="7"/>
                <c:pt idx="0">
                  <c:v>Task Efficiency</c:v>
                </c:pt>
                <c:pt idx="1">
                  <c:v>Imagery Support</c:v>
                </c:pt>
                <c:pt idx="2">
                  <c:v>Usability</c:v>
                </c:pt>
                <c:pt idx="3">
                  <c:v>Retrieval Precision</c:v>
                </c:pt>
                <c:pt idx="4">
                  <c:v>Relational Support</c:v>
                </c:pt>
                <c:pt idx="5">
                  <c:v>Cognitive Load</c:v>
                </c:pt>
                <c:pt idx="6">
                  <c:v>Comparison Support</c:v>
                </c:pt>
              </c:strCache>
            </c:strRef>
          </c:cat>
          <c:val>
            <c:numRef>
              <c:f>总表!$H$19:$N$19</c:f>
              <c:numCache>
                <c:formatCode>0.00_ </c:formatCode>
                <c:ptCount val="7"/>
                <c:pt idx="0">
                  <c:v>4.333333333333333</c:v>
                </c:pt>
                <c:pt idx="1">
                  <c:v>4.666666666666667</c:v>
                </c:pt>
                <c:pt idx="2">
                  <c:v>4.166666666666667</c:v>
                </c:pt>
                <c:pt idx="3">
                  <c:v>4.166666666666667</c:v>
                </c:pt>
                <c:pt idx="4">
                  <c:v>4.666666666666667</c:v>
                </c:pt>
                <c:pt idx="5">
                  <c:v>4.166666666666667</c:v>
                </c:pt>
                <c:pt idx="6">
                  <c:v>4.166666666666667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3-4F56-99E5-69EAC4ABD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70257744"/>
        <c:axId val="1670258224"/>
      </c:barChart>
      <c:catAx>
        <c:axId val="1670257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1"/>
                  <a:t>Dimension</a:t>
                </a:r>
                <a:endParaRPr lang="zh-CN" altLang="en-US" sz="1100" b="1"/>
              </a:p>
            </c:rich>
          </c:tx>
          <c:layout>
            <c:manualLayout>
              <c:xMode val="edge"/>
              <c:yMode val="edge"/>
              <c:x val="0.37585912622035955"/>
              <c:y val="0.85225182748538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0258224"/>
        <c:crosses val="autoZero"/>
        <c:auto val="1"/>
        <c:lblAlgn val="ctr"/>
        <c:lblOffset val="100"/>
        <c:noMultiLvlLbl val="0"/>
      </c:catAx>
      <c:valAx>
        <c:axId val="167025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1"/>
                  <a:t>Scores</a:t>
                </a:r>
                <a:endParaRPr lang="zh-CN" altLang="en-US" sz="1100" b="1"/>
              </a:p>
            </c:rich>
          </c:tx>
          <c:layout>
            <c:manualLayout>
              <c:xMode val="edge"/>
              <c:yMode val="edge"/>
              <c:x val="1.0006838472025374E-2"/>
              <c:y val="7.51692251461988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025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907674348068801E-2"/>
          <c:y val="0.8784250730994152"/>
          <c:w val="0.23673232813864831"/>
          <c:h val="7.7665570175438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Sou-yun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总表!$Q$61:$U$61</c:f>
              <c:strCache>
                <c:ptCount val="5"/>
                <c:pt idx="0">
                  <c:v>Fast Retrieval</c:v>
                </c:pt>
                <c:pt idx="1">
                  <c:v>Comprehensive Annotations</c:v>
                </c:pt>
                <c:pt idx="2">
                  <c:v>Clear &amp; Intuitive Layout</c:v>
                </c:pt>
                <c:pt idx="3">
                  <c:v>Strong Color-Imagery Visualization</c:v>
                </c:pt>
                <c:pt idx="4">
                  <c:v>Facilitates Induction &amp; Organization</c:v>
                </c:pt>
              </c:strCache>
            </c:strRef>
          </c:cat>
          <c:val>
            <c:numRef>
              <c:f>总表!$Q$62:$U$62</c:f>
              <c:numCache>
                <c:formatCode>General</c:formatCode>
                <c:ptCount val="5"/>
                <c:pt idx="0">
                  <c:v>0.83333333333333337</c:v>
                </c:pt>
                <c:pt idx="1">
                  <c:v>0.33333333333333331</c:v>
                </c:pt>
                <c:pt idx="2">
                  <c:v>0.83333333333333337</c:v>
                </c:pt>
                <c:pt idx="3">
                  <c:v>0.16666666666666666</c:v>
                </c:pt>
                <c:pt idx="4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0-45F0-8248-3AE096B30E12}"/>
            </c:ext>
          </c:extLst>
        </c:ser>
        <c:ser>
          <c:idx val="1"/>
          <c:order val="1"/>
          <c:tx>
            <c:v>VerseColor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总表!$Q$61:$U$61</c:f>
              <c:strCache>
                <c:ptCount val="5"/>
                <c:pt idx="0">
                  <c:v>Fast Retrieval</c:v>
                </c:pt>
                <c:pt idx="1">
                  <c:v>Comprehensive Annotations</c:v>
                </c:pt>
                <c:pt idx="2">
                  <c:v>Clear &amp; Intuitive Layout</c:v>
                </c:pt>
                <c:pt idx="3">
                  <c:v>Strong Color-Imagery Visualization</c:v>
                </c:pt>
                <c:pt idx="4">
                  <c:v>Facilitates Induction &amp; Organization</c:v>
                </c:pt>
              </c:strCache>
            </c:strRef>
          </c:cat>
          <c:val>
            <c:numRef>
              <c:f>总表!$Q$63:$U$63</c:f>
              <c:numCache>
                <c:formatCode>General</c:formatCode>
                <c:ptCount val="5"/>
                <c:pt idx="0">
                  <c:v>1</c:v>
                </c:pt>
                <c:pt idx="1">
                  <c:v>0.33333333333333331</c:v>
                </c:pt>
                <c:pt idx="2">
                  <c:v>0.66666666666666663</c:v>
                </c:pt>
                <c:pt idx="3">
                  <c:v>0.5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0-45F0-8248-3AE096B30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746784"/>
        <c:axId val="988873552"/>
      </c:barChart>
      <c:catAx>
        <c:axId val="16677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8873552"/>
        <c:crosses val="autoZero"/>
        <c:auto val="1"/>
        <c:lblAlgn val="ctr"/>
        <c:lblOffset val="100"/>
        <c:noMultiLvlLbl val="0"/>
      </c:catAx>
      <c:valAx>
        <c:axId val="98887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774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550743657042879E-2"/>
          <c:y val="0.88387540099154271"/>
          <c:w val="0.3328982939632546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100013</xdr:colOff>
      <xdr:row>22</xdr:row>
      <xdr:rowOff>490538</xdr:rowOff>
    </xdr:from>
    <xdr:to>
      <xdr:col>15</xdr:col>
      <xdr:colOff>116682</xdr:colOff>
      <xdr:row>33</xdr:row>
      <xdr:rowOff>297600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D7E9920-7ED7-675A-1F73-EDB3421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207168</xdr:colOff>
      <xdr:row>43</xdr:row>
      <xdr:rowOff>35718</xdr:rowOff>
    </xdr:from>
    <xdr:to>
      <xdr:col>12</xdr:col>
      <xdr:colOff>697705</xdr:colOff>
      <xdr:row>60</xdr:row>
      <xdr:rowOff>26193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1D5141D-6591-D2ED-65DE-AD4FB593D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tabSelected="1" topLeftCell="A16" workbookViewId="0">
      <selection activeCell="L36" sqref="L36"/>
    </sheetView>
  </sheetViews>
  <sheetFormatPr defaultRowHeight="12.75" x14ac:dyDescent="0.35"/>
  <cols>
    <col min="1" max="1" width="4.1328125" customWidth="1"/>
    <col min="2" max="2" width="17.1328125" hidden="1" customWidth="1"/>
    <col min="3" max="5" width="7" hidden="1" customWidth="1"/>
    <col min="6" max="6" width="22.3984375" hidden="1" customWidth="1"/>
    <col min="7" max="7" width="4.1328125" customWidth="1"/>
    <col min="8" max="23" width="10.59765625" customWidth="1"/>
  </cols>
  <sheetData>
    <row r="1" spans="1:24" ht="13.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64</v>
      </c>
    </row>
    <row r="2" spans="1:24" x14ac:dyDescent="0.35">
      <c r="A2">
        <v>1</v>
      </c>
      <c r="B2" t="s">
        <v>28</v>
      </c>
      <c r="C2" t="s">
        <v>29</v>
      </c>
      <c r="D2" t="s">
        <v>30</v>
      </c>
      <c r="E2" t="s">
        <v>26</v>
      </c>
      <c r="F2" t="s">
        <v>31</v>
      </c>
      <c r="G2">
        <v>38</v>
      </c>
      <c r="H2" s="4">
        <v>5</v>
      </c>
      <c r="I2" s="4">
        <v>5</v>
      </c>
      <c r="J2">
        <v>4</v>
      </c>
      <c r="K2" s="4">
        <v>5</v>
      </c>
      <c r="L2" s="4">
        <v>5</v>
      </c>
      <c r="M2" s="4">
        <v>5</v>
      </c>
      <c r="N2" s="4">
        <v>5</v>
      </c>
      <c r="O2">
        <v>6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4</v>
      </c>
      <c r="X2">
        <v>17</v>
      </c>
    </row>
    <row r="3" spans="1:24" x14ac:dyDescent="0.3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30</v>
      </c>
      <c r="H3">
        <v>4</v>
      </c>
      <c r="I3" s="4">
        <v>4</v>
      </c>
      <c r="J3">
        <v>3</v>
      </c>
      <c r="K3">
        <v>4</v>
      </c>
      <c r="L3" s="4">
        <v>4</v>
      </c>
      <c r="M3" s="4">
        <v>4</v>
      </c>
      <c r="N3">
        <v>3</v>
      </c>
      <c r="O3">
        <v>5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4</v>
      </c>
      <c r="X3">
        <v>16</v>
      </c>
    </row>
    <row r="4" spans="1:24" x14ac:dyDescent="0.35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26</v>
      </c>
      <c r="H4">
        <v>3</v>
      </c>
      <c r="I4">
        <v>2</v>
      </c>
      <c r="J4" s="4">
        <v>5</v>
      </c>
      <c r="K4">
        <v>4</v>
      </c>
      <c r="L4">
        <v>2</v>
      </c>
      <c r="M4">
        <v>3</v>
      </c>
      <c r="N4" s="4">
        <v>4</v>
      </c>
      <c r="O4">
        <v>2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3</v>
      </c>
      <c r="X4">
        <v>13</v>
      </c>
    </row>
    <row r="5" spans="1:24" x14ac:dyDescent="0.35">
      <c r="A5">
        <v>4</v>
      </c>
      <c r="B5" t="s">
        <v>37</v>
      </c>
      <c r="C5" t="s">
        <v>38</v>
      </c>
      <c r="D5" t="s">
        <v>25</v>
      </c>
      <c r="E5" t="s">
        <v>26</v>
      </c>
      <c r="F5" t="s">
        <v>39</v>
      </c>
      <c r="G5">
        <v>36</v>
      </c>
      <c r="H5">
        <v>4</v>
      </c>
      <c r="I5" s="4">
        <v>5</v>
      </c>
      <c r="J5" s="4">
        <v>5</v>
      </c>
      <c r="K5">
        <v>4</v>
      </c>
      <c r="L5" s="4">
        <v>5</v>
      </c>
      <c r="M5" s="4">
        <v>5</v>
      </c>
      <c r="N5" s="4">
        <v>4</v>
      </c>
      <c r="O5">
        <v>5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4</v>
      </c>
      <c r="X5">
        <v>15</v>
      </c>
    </row>
    <row r="6" spans="1:24" x14ac:dyDescent="0.35">
      <c r="A6">
        <v>5</v>
      </c>
      <c r="B6" t="s">
        <v>40</v>
      </c>
      <c r="C6" t="s">
        <v>41</v>
      </c>
      <c r="D6" t="s">
        <v>34</v>
      </c>
      <c r="E6" t="s">
        <v>35</v>
      </c>
      <c r="F6" t="s">
        <v>42</v>
      </c>
      <c r="G6">
        <v>29</v>
      </c>
      <c r="H6">
        <v>4</v>
      </c>
      <c r="I6">
        <v>3</v>
      </c>
      <c r="J6" s="4">
        <v>5</v>
      </c>
      <c r="K6" s="4">
        <v>5</v>
      </c>
      <c r="L6">
        <v>2</v>
      </c>
      <c r="M6" s="4">
        <v>4</v>
      </c>
      <c r="N6">
        <v>2</v>
      </c>
      <c r="O6">
        <v>4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4</v>
      </c>
      <c r="X6">
        <v>16</v>
      </c>
    </row>
    <row r="7" spans="1:24" x14ac:dyDescent="0.35">
      <c r="A7">
        <v>6</v>
      </c>
      <c r="B7" t="s">
        <v>43</v>
      </c>
      <c r="C7" t="s">
        <v>44</v>
      </c>
      <c r="D7" t="s">
        <v>25</v>
      </c>
      <c r="E7" t="s">
        <v>26</v>
      </c>
      <c r="F7" t="s">
        <v>45</v>
      </c>
      <c r="G7">
        <v>37</v>
      </c>
      <c r="H7" s="4">
        <v>5</v>
      </c>
      <c r="I7" s="4">
        <v>5</v>
      </c>
      <c r="J7" s="4">
        <v>5</v>
      </c>
      <c r="K7">
        <v>4</v>
      </c>
      <c r="L7" s="4">
        <v>5</v>
      </c>
      <c r="M7" s="4">
        <v>4</v>
      </c>
      <c r="N7" s="4">
        <v>5</v>
      </c>
      <c r="O7">
        <v>6</v>
      </c>
      <c r="P7">
        <v>1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4</v>
      </c>
      <c r="X7">
        <v>12</v>
      </c>
    </row>
    <row r="8" spans="1:24" x14ac:dyDescent="0.35">
      <c r="A8">
        <v>7</v>
      </c>
      <c r="B8" t="s">
        <v>46</v>
      </c>
      <c r="C8" t="s">
        <v>47</v>
      </c>
      <c r="D8" t="s">
        <v>34</v>
      </c>
      <c r="E8" t="s">
        <v>35</v>
      </c>
      <c r="F8" t="s">
        <v>48</v>
      </c>
      <c r="G8">
        <v>25</v>
      </c>
      <c r="H8">
        <v>4</v>
      </c>
      <c r="I8">
        <v>2</v>
      </c>
      <c r="J8">
        <v>4</v>
      </c>
      <c r="K8">
        <v>3</v>
      </c>
      <c r="L8">
        <v>3</v>
      </c>
      <c r="M8">
        <v>3</v>
      </c>
      <c r="N8">
        <v>3</v>
      </c>
      <c r="O8">
        <v>2</v>
      </c>
      <c r="P8">
        <v>1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3</v>
      </c>
      <c r="X8">
        <v>15</v>
      </c>
    </row>
    <row r="9" spans="1:24" x14ac:dyDescent="0.35">
      <c r="A9">
        <v>8</v>
      </c>
      <c r="B9" t="s">
        <v>49</v>
      </c>
      <c r="C9" t="s">
        <v>50</v>
      </c>
      <c r="D9" t="s">
        <v>25</v>
      </c>
      <c r="E9" t="s">
        <v>26</v>
      </c>
      <c r="F9" t="s">
        <v>51</v>
      </c>
      <c r="G9">
        <v>37</v>
      </c>
      <c r="H9" s="4">
        <v>5</v>
      </c>
      <c r="I9" s="4">
        <v>5</v>
      </c>
      <c r="J9" s="4">
        <v>5</v>
      </c>
      <c r="K9">
        <v>4</v>
      </c>
      <c r="L9" s="4">
        <v>5</v>
      </c>
      <c r="M9" s="4">
        <v>4</v>
      </c>
      <c r="N9" s="4">
        <v>5</v>
      </c>
      <c r="O9">
        <v>4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4</v>
      </c>
      <c r="X9">
        <v>18</v>
      </c>
    </row>
    <row r="10" spans="1:24" x14ac:dyDescent="0.35">
      <c r="A10">
        <v>9</v>
      </c>
      <c r="B10" t="s">
        <v>52</v>
      </c>
      <c r="C10" t="s">
        <v>53</v>
      </c>
      <c r="D10" t="s">
        <v>34</v>
      </c>
      <c r="E10" t="s">
        <v>35</v>
      </c>
      <c r="F10" t="s">
        <v>54</v>
      </c>
      <c r="G10">
        <v>29</v>
      </c>
      <c r="H10">
        <v>4</v>
      </c>
      <c r="I10" s="4">
        <v>4</v>
      </c>
      <c r="J10" s="4">
        <v>5</v>
      </c>
      <c r="K10">
        <v>3</v>
      </c>
      <c r="L10">
        <v>3</v>
      </c>
      <c r="M10">
        <v>2</v>
      </c>
      <c r="N10" s="4">
        <v>5</v>
      </c>
      <c r="O10">
        <v>4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3</v>
      </c>
      <c r="X10">
        <v>13</v>
      </c>
    </row>
    <row r="11" spans="1:24" x14ac:dyDescent="0.35">
      <c r="A11">
        <v>10</v>
      </c>
      <c r="B11" t="s">
        <v>55</v>
      </c>
      <c r="C11" t="s">
        <v>56</v>
      </c>
      <c r="D11" t="s">
        <v>34</v>
      </c>
      <c r="E11" t="s">
        <v>35</v>
      </c>
      <c r="F11" t="s">
        <v>57</v>
      </c>
      <c r="G11">
        <v>38</v>
      </c>
      <c r="H11" s="4">
        <v>5</v>
      </c>
      <c r="I11" s="4">
        <v>5</v>
      </c>
      <c r="J11" s="4">
        <v>5</v>
      </c>
      <c r="K11" s="4">
        <v>5</v>
      </c>
      <c r="L11" s="4">
        <v>5</v>
      </c>
      <c r="M11" s="4">
        <v>4</v>
      </c>
      <c r="N11" s="4">
        <v>5</v>
      </c>
      <c r="O11">
        <v>5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4</v>
      </c>
      <c r="X11">
        <v>11</v>
      </c>
    </row>
    <row r="12" spans="1:24" x14ac:dyDescent="0.35">
      <c r="A12">
        <v>11</v>
      </c>
      <c r="B12" t="s">
        <v>58</v>
      </c>
      <c r="C12" t="s">
        <v>59</v>
      </c>
      <c r="D12" t="s">
        <v>34</v>
      </c>
      <c r="E12" t="s">
        <v>35</v>
      </c>
      <c r="F12" t="s">
        <v>60</v>
      </c>
      <c r="G12">
        <v>29</v>
      </c>
      <c r="H12">
        <v>3</v>
      </c>
      <c r="I12">
        <v>3</v>
      </c>
      <c r="J12" s="4">
        <v>5</v>
      </c>
      <c r="K12" s="4">
        <v>5</v>
      </c>
      <c r="L12">
        <v>3</v>
      </c>
      <c r="M12">
        <v>3</v>
      </c>
      <c r="N12" s="4">
        <v>4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3</v>
      </c>
      <c r="X12">
        <v>12</v>
      </c>
    </row>
    <row r="13" spans="1:24" x14ac:dyDescent="0.35">
      <c r="A13">
        <v>12</v>
      </c>
      <c r="B13" t="s">
        <v>61</v>
      </c>
      <c r="C13" t="s">
        <v>62</v>
      </c>
      <c r="D13" t="s">
        <v>25</v>
      </c>
      <c r="E13" t="s">
        <v>26</v>
      </c>
      <c r="F13" t="s">
        <v>63</v>
      </c>
      <c r="G13">
        <v>27</v>
      </c>
      <c r="H13">
        <v>3</v>
      </c>
      <c r="I13" s="4">
        <v>4</v>
      </c>
      <c r="J13">
        <v>2</v>
      </c>
      <c r="K13">
        <v>4</v>
      </c>
      <c r="L13" s="4">
        <v>4</v>
      </c>
      <c r="M13" s="4">
        <v>4</v>
      </c>
      <c r="N13">
        <v>3</v>
      </c>
      <c r="O13">
        <v>3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3</v>
      </c>
      <c r="X13">
        <v>15</v>
      </c>
    </row>
    <row r="14" spans="1:24" ht="13.15" x14ac:dyDescent="0.35">
      <c r="G14" s="2" t="s">
        <v>66</v>
      </c>
      <c r="H14">
        <f t="shared" ref="H14:N14" si="0">AVERAGE(H2:H13)</f>
        <v>4.083333333333333</v>
      </c>
      <c r="I14">
        <f t="shared" si="0"/>
        <v>3.9166666666666665</v>
      </c>
      <c r="J14">
        <f t="shared" si="0"/>
        <v>4.416666666666667</v>
      </c>
      <c r="K14">
        <f t="shared" si="0"/>
        <v>4.166666666666667</v>
      </c>
      <c r="L14">
        <f t="shared" si="0"/>
        <v>3.8333333333333335</v>
      </c>
      <c r="M14">
        <f t="shared" si="0"/>
        <v>3.75</v>
      </c>
      <c r="N14">
        <f t="shared" si="0"/>
        <v>4</v>
      </c>
      <c r="O14" s="3" t="s">
        <v>67</v>
      </c>
      <c r="P14">
        <f t="shared" ref="P14:X14" si="1">AVERAGE(P2:P13)</f>
        <v>0.91666666666666663</v>
      </c>
      <c r="Q14">
        <f t="shared" si="1"/>
        <v>0.33333333333333331</v>
      </c>
      <c r="R14">
        <f t="shared" si="1"/>
        <v>0.75</v>
      </c>
      <c r="S14">
        <f t="shared" si="1"/>
        <v>0.33333333333333331</v>
      </c>
      <c r="T14">
        <f t="shared" si="1"/>
        <v>0.83333333333333337</v>
      </c>
      <c r="U14">
        <f t="shared" si="1"/>
        <v>0</v>
      </c>
      <c r="V14">
        <f t="shared" si="1"/>
        <v>0</v>
      </c>
      <c r="W14">
        <f t="shared" si="1"/>
        <v>3.5833333333333335</v>
      </c>
      <c r="X14">
        <f t="shared" si="1"/>
        <v>14.416666666666666</v>
      </c>
    </row>
    <row r="17" spans="1:24" x14ac:dyDescent="0.35">
      <c r="H17" t="s">
        <v>77</v>
      </c>
      <c r="I17" t="s">
        <v>79</v>
      </c>
      <c r="J17" t="s">
        <v>80</v>
      </c>
      <c r="K17" t="s">
        <v>78</v>
      </c>
      <c r="L17" t="s">
        <v>81</v>
      </c>
      <c r="M17" t="s">
        <v>82</v>
      </c>
      <c r="N17" t="s">
        <v>83</v>
      </c>
    </row>
    <row r="18" spans="1:24" ht="13.15" x14ac:dyDescent="0.35">
      <c r="A18" s="1" t="s">
        <v>74</v>
      </c>
      <c r="G18" s="2" t="s">
        <v>70</v>
      </c>
      <c r="H18" s="6">
        <v>3.8333333333333335</v>
      </c>
      <c r="I18" s="6">
        <v>3.1666666666666665</v>
      </c>
      <c r="J18" s="6">
        <v>4.666666666666667</v>
      </c>
      <c r="K18" s="6">
        <v>4.166666666666667</v>
      </c>
      <c r="L18" s="6">
        <v>3</v>
      </c>
      <c r="M18" s="6">
        <v>3.3333333333333335</v>
      </c>
      <c r="N18" s="6">
        <v>3.8333333333333335</v>
      </c>
      <c r="O18" s="3" t="s">
        <v>72</v>
      </c>
      <c r="P18" s="4">
        <v>0.83333333333333337</v>
      </c>
      <c r="Q18">
        <v>0.33333333333333331</v>
      </c>
      <c r="R18" s="4">
        <v>0.83333333333333337</v>
      </c>
      <c r="S18">
        <v>0.16666666666666666</v>
      </c>
      <c r="T18" s="4">
        <v>0.66666666666666663</v>
      </c>
      <c r="U18">
        <v>0</v>
      </c>
      <c r="V18">
        <v>0</v>
      </c>
      <c r="W18">
        <v>3.3333333333333335</v>
      </c>
      <c r="X18">
        <v>12.666666666666666</v>
      </c>
    </row>
    <row r="19" spans="1:24" ht="13.15" x14ac:dyDescent="0.35">
      <c r="A19" s="1" t="s">
        <v>75</v>
      </c>
      <c r="G19" s="2" t="s">
        <v>65</v>
      </c>
      <c r="H19" s="6">
        <v>4.333333333333333</v>
      </c>
      <c r="I19" s="6">
        <v>4.666666666666667</v>
      </c>
      <c r="J19" s="6">
        <v>4.166666666666667</v>
      </c>
      <c r="K19" s="6">
        <v>4.166666666666667</v>
      </c>
      <c r="L19" s="6">
        <v>4.666666666666667</v>
      </c>
      <c r="M19" s="6">
        <v>4.166666666666667</v>
      </c>
      <c r="N19" s="6">
        <v>4.166666666666667</v>
      </c>
      <c r="O19" s="3" t="s">
        <v>68</v>
      </c>
      <c r="P19" s="4">
        <v>1</v>
      </c>
      <c r="Q19">
        <v>0.33333333333333331</v>
      </c>
      <c r="R19" s="4">
        <v>0.66666666666666663</v>
      </c>
      <c r="S19" s="4">
        <v>0.5</v>
      </c>
      <c r="T19" s="4">
        <v>1</v>
      </c>
      <c r="U19">
        <v>0</v>
      </c>
      <c r="V19">
        <v>0</v>
      </c>
      <c r="W19">
        <v>3.8333333333333335</v>
      </c>
      <c r="X19">
        <v>14.5</v>
      </c>
    </row>
    <row r="23" spans="1:24" ht="39.4" x14ac:dyDescent="0.35">
      <c r="Q23" s="8" t="s">
        <v>84</v>
      </c>
      <c r="R23" s="8" t="s">
        <v>85</v>
      </c>
      <c r="S23" s="8" t="s">
        <v>86</v>
      </c>
      <c r="T23" s="8" t="s">
        <v>87</v>
      </c>
      <c r="U23" s="8" t="s">
        <v>88</v>
      </c>
      <c r="V23" s="8" t="s">
        <v>89</v>
      </c>
    </row>
    <row r="24" spans="1:24" ht="25.5" x14ac:dyDescent="0.35">
      <c r="Q24" s="7" t="s">
        <v>90</v>
      </c>
      <c r="R24" s="7" t="s">
        <v>91</v>
      </c>
      <c r="S24" s="7">
        <v>3.83</v>
      </c>
      <c r="T24" s="7">
        <v>0.75</v>
      </c>
      <c r="U24" s="7">
        <v>0.31</v>
      </c>
      <c r="V24" s="7">
        <v>0.61</v>
      </c>
      <c r="W24" s="7">
        <v>0.61</v>
      </c>
      <c r="X24" s="7">
        <v>0.42</v>
      </c>
    </row>
    <row r="25" spans="1:24" x14ac:dyDescent="0.35">
      <c r="Q25" s="7"/>
      <c r="R25" s="7" t="s">
        <v>92</v>
      </c>
      <c r="S25" s="7">
        <v>4.33</v>
      </c>
      <c r="T25" s="7">
        <v>0.52</v>
      </c>
      <c r="U25" s="7">
        <v>0.21</v>
      </c>
      <c r="V25" s="7">
        <v>0.42</v>
      </c>
      <c r="W25" s="7">
        <v>0.94</v>
      </c>
      <c r="X25" s="7">
        <v>0.42</v>
      </c>
    </row>
    <row r="26" spans="1:24" ht="25.5" x14ac:dyDescent="0.35">
      <c r="Q26" s="7" t="s">
        <v>93</v>
      </c>
      <c r="R26" s="7" t="s">
        <v>91</v>
      </c>
      <c r="S26" s="7">
        <v>3.17</v>
      </c>
      <c r="T26" s="7">
        <v>1.17</v>
      </c>
      <c r="U26" s="7">
        <v>0.48</v>
      </c>
      <c r="V26" s="7">
        <v>0.94</v>
      </c>
      <c r="W26" s="7">
        <v>0.94</v>
      </c>
      <c r="X26" s="7">
        <v>0.94</v>
      </c>
    </row>
    <row r="27" spans="1:24" x14ac:dyDescent="0.35">
      <c r="Q27" s="7"/>
      <c r="R27" s="7" t="s">
        <v>92</v>
      </c>
      <c r="S27" s="7">
        <v>4.67</v>
      </c>
      <c r="T27" s="7">
        <v>0.52</v>
      </c>
      <c r="U27" s="7">
        <v>0.21</v>
      </c>
      <c r="V27" s="7">
        <v>0.42</v>
      </c>
      <c r="W27" s="7">
        <v>0.61</v>
      </c>
      <c r="X27" s="7">
        <v>0.33</v>
      </c>
    </row>
    <row r="28" spans="1:24" x14ac:dyDescent="0.35">
      <c r="Q28" s="7" t="s">
        <v>94</v>
      </c>
      <c r="R28" s="7" t="s">
        <v>91</v>
      </c>
      <c r="S28" s="7">
        <v>4.67</v>
      </c>
      <c r="T28" s="7">
        <v>0.52</v>
      </c>
      <c r="U28" s="7">
        <v>0.21</v>
      </c>
      <c r="V28" s="7">
        <v>0.94</v>
      </c>
      <c r="W28" s="7">
        <v>0.88</v>
      </c>
      <c r="X28" s="7">
        <v>0.42</v>
      </c>
    </row>
    <row r="29" spans="1:24" x14ac:dyDescent="0.35">
      <c r="Q29" s="7"/>
      <c r="R29" s="7" t="s">
        <v>92</v>
      </c>
      <c r="S29" s="7">
        <v>4.17</v>
      </c>
      <c r="T29" s="7">
        <v>1.17</v>
      </c>
      <c r="U29" s="7">
        <v>0.48</v>
      </c>
      <c r="V29" s="7">
        <v>0.94</v>
      </c>
      <c r="W29" s="7">
        <v>0.65</v>
      </c>
      <c r="X29" s="7">
        <v>0.65</v>
      </c>
    </row>
    <row r="30" spans="1:24" ht="25.5" x14ac:dyDescent="0.35">
      <c r="Q30" s="7" t="s">
        <v>95</v>
      </c>
      <c r="R30" s="7" t="s">
        <v>91</v>
      </c>
      <c r="S30" s="7">
        <v>4.17</v>
      </c>
      <c r="T30" s="7">
        <v>0.75</v>
      </c>
      <c r="U30" s="7">
        <v>0.31</v>
      </c>
      <c r="V30" s="7">
        <v>0.61</v>
      </c>
      <c r="W30" s="7">
        <v>0.94</v>
      </c>
      <c r="X30" s="7">
        <v>0.86</v>
      </c>
    </row>
    <row r="31" spans="1:24" x14ac:dyDescent="0.35">
      <c r="Q31" s="7"/>
      <c r="R31" s="7" t="s">
        <v>92</v>
      </c>
      <c r="S31" s="7">
        <v>4.17</v>
      </c>
      <c r="T31" s="7">
        <v>0.41</v>
      </c>
      <c r="U31" s="7">
        <v>0.17</v>
      </c>
      <c r="V31" s="7">
        <v>0.33</v>
      </c>
    </row>
    <row r="32" spans="1:24" ht="38.25" x14ac:dyDescent="0.35">
      <c r="Q32" s="7" t="s">
        <v>96</v>
      </c>
      <c r="R32" s="7" t="s">
        <v>91</v>
      </c>
      <c r="S32" s="7">
        <v>3</v>
      </c>
      <c r="T32" s="7">
        <v>1.1000000000000001</v>
      </c>
      <c r="U32" s="7">
        <v>0.45</v>
      </c>
      <c r="V32" s="7">
        <v>0.88</v>
      </c>
    </row>
    <row r="33" spans="17:22" x14ac:dyDescent="0.35">
      <c r="Q33" s="7"/>
      <c r="R33" s="7" t="s">
        <v>92</v>
      </c>
      <c r="S33" s="7">
        <v>4.67</v>
      </c>
      <c r="T33" s="7">
        <v>0.52</v>
      </c>
      <c r="U33" s="7">
        <v>0.21</v>
      </c>
      <c r="V33" s="7">
        <v>0.42</v>
      </c>
    </row>
    <row r="34" spans="17:22" ht="25.5" x14ac:dyDescent="0.35">
      <c r="Q34" s="7" t="s">
        <v>97</v>
      </c>
      <c r="R34" s="7" t="s">
        <v>91</v>
      </c>
      <c r="S34" s="7">
        <v>3.33</v>
      </c>
      <c r="T34" s="7">
        <v>0.82</v>
      </c>
      <c r="U34" s="7">
        <v>0.33</v>
      </c>
      <c r="V34" s="7">
        <v>0.65</v>
      </c>
    </row>
    <row r="35" spans="17:22" x14ac:dyDescent="0.35">
      <c r="Q35" s="7"/>
      <c r="R35" s="7" t="s">
        <v>92</v>
      </c>
      <c r="S35" s="7">
        <v>4.17</v>
      </c>
      <c r="T35" s="7">
        <v>0.82</v>
      </c>
      <c r="U35" s="7">
        <v>0.33</v>
      </c>
      <c r="V35" s="7">
        <v>0.65</v>
      </c>
    </row>
    <row r="36" spans="17:22" ht="38.25" x14ac:dyDescent="0.35">
      <c r="Q36" s="7" t="s">
        <v>98</v>
      </c>
      <c r="R36" s="7" t="s">
        <v>91</v>
      </c>
      <c r="S36" s="7">
        <v>3.83</v>
      </c>
      <c r="T36" s="7">
        <v>1.17</v>
      </c>
      <c r="U36" s="7">
        <v>0.48</v>
      </c>
      <c r="V36" s="7">
        <v>0.94</v>
      </c>
    </row>
    <row r="37" spans="17:22" x14ac:dyDescent="0.35">
      <c r="Q37" s="7"/>
      <c r="R37" s="7" t="s">
        <v>92</v>
      </c>
      <c r="S37" s="7">
        <v>4.17</v>
      </c>
      <c r="T37" s="7">
        <v>1.07</v>
      </c>
      <c r="U37" s="7">
        <v>0.44</v>
      </c>
      <c r="V37" s="7">
        <v>0.86</v>
      </c>
    </row>
    <row r="61" spans="17:21" ht="13.9" x14ac:dyDescent="0.45">
      <c r="Q61" s="9" t="s">
        <v>99</v>
      </c>
      <c r="R61" t="s">
        <v>100</v>
      </c>
      <c r="S61" t="s">
        <v>101</v>
      </c>
      <c r="T61" t="s">
        <v>102</v>
      </c>
      <c r="U61" t="s">
        <v>103</v>
      </c>
    </row>
    <row r="62" spans="17:21" x14ac:dyDescent="0.35">
      <c r="Q62" s="4">
        <v>0.83333333333333337</v>
      </c>
      <c r="R62">
        <v>0.33333333333333331</v>
      </c>
      <c r="S62" s="4">
        <v>0.83333333333333337</v>
      </c>
      <c r="T62">
        <v>0.16666666666666666</v>
      </c>
      <c r="U62" s="4">
        <v>0.66666666666666663</v>
      </c>
    </row>
    <row r="63" spans="17:21" x14ac:dyDescent="0.35">
      <c r="Q63" s="4">
        <v>1</v>
      </c>
      <c r="R63">
        <v>0.33333333333333331</v>
      </c>
      <c r="S63" s="4">
        <v>0.66666666666666663</v>
      </c>
      <c r="T63" s="4">
        <v>0.5</v>
      </c>
      <c r="U63" s="4">
        <v>1</v>
      </c>
    </row>
  </sheetData>
  <phoneticPr fontId="2" type="noConversion"/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579F-25F0-44FC-9D77-C0393636AE2E}">
  <dimension ref="A1:X8"/>
  <sheetViews>
    <sheetView workbookViewId="0">
      <selection activeCell="H8" sqref="H8:X8"/>
    </sheetView>
  </sheetViews>
  <sheetFormatPr defaultRowHeight="12.75" x14ac:dyDescent="0.35"/>
  <cols>
    <col min="2" max="6" width="0" hidden="1" customWidth="1"/>
  </cols>
  <sheetData>
    <row r="1" spans="1:24" ht="13.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76</v>
      </c>
    </row>
    <row r="2" spans="1:24" x14ac:dyDescent="0.35">
      <c r="A2">
        <v>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30</v>
      </c>
      <c r="H2">
        <v>4</v>
      </c>
      <c r="I2" s="4">
        <v>4</v>
      </c>
      <c r="J2">
        <v>3</v>
      </c>
      <c r="K2">
        <v>4</v>
      </c>
      <c r="L2" s="4">
        <v>4</v>
      </c>
      <c r="M2" s="4">
        <v>4</v>
      </c>
      <c r="N2">
        <v>3</v>
      </c>
      <c r="O2">
        <v>5</v>
      </c>
      <c r="P2">
        <v>1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4</v>
      </c>
      <c r="X2">
        <v>16</v>
      </c>
    </row>
    <row r="3" spans="1:24" x14ac:dyDescent="0.35">
      <c r="A3">
        <v>4</v>
      </c>
      <c r="B3" t="s">
        <v>37</v>
      </c>
      <c r="C3" t="s">
        <v>38</v>
      </c>
      <c r="D3" t="s">
        <v>25</v>
      </c>
      <c r="E3" t="s">
        <v>26</v>
      </c>
      <c r="F3" t="s">
        <v>39</v>
      </c>
      <c r="G3">
        <v>36</v>
      </c>
      <c r="H3">
        <v>4</v>
      </c>
      <c r="I3" s="4">
        <v>5</v>
      </c>
      <c r="J3" s="4">
        <v>5</v>
      </c>
      <c r="K3">
        <v>4</v>
      </c>
      <c r="L3" s="4">
        <v>5</v>
      </c>
      <c r="M3" s="4">
        <v>5</v>
      </c>
      <c r="N3">
        <v>4</v>
      </c>
      <c r="O3">
        <v>5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 s="4">
        <v>4</v>
      </c>
      <c r="X3">
        <v>15</v>
      </c>
    </row>
    <row r="4" spans="1:24" x14ac:dyDescent="0.35">
      <c r="A4">
        <v>6</v>
      </c>
      <c r="B4" t="s">
        <v>43</v>
      </c>
      <c r="C4" t="s">
        <v>44</v>
      </c>
      <c r="D4" t="s">
        <v>25</v>
      </c>
      <c r="E4" t="s">
        <v>26</v>
      </c>
      <c r="F4" t="s">
        <v>45</v>
      </c>
      <c r="G4">
        <v>37</v>
      </c>
      <c r="H4" s="4">
        <v>5</v>
      </c>
      <c r="I4" s="4">
        <v>5</v>
      </c>
      <c r="J4" s="4">
        <v>5</v>
      </c>
      <c r="K4">
        <v>4</v>
      </c>
      <c r="L4" s="4">
        <v>5</v>
      </c>
      <c r="M4">
        <v>4</v>
      </c>
      <c r="N4" s="4">
        <v>5</v>
      </c>
      <c r="O4">
        <v>6</v>
      </c>
      <c r="P4">
        <v>1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 s="4">
        <v>4</v>
      </c>
      <c r="X4">
        <v>12</v>
      </c>
    </row>
    <row r="5" spans="1:24" x14ac:dyDescent="0.35">
      <c r="A5">
        <v>8</v>
      </c>
      <c r="B5" t="s">
        <v>49</v>
      </c>
      <c r="C5" t="s">
        <v>50</v>
      </c>
      <c r="D5" t="s">
        <v>25</v>
      </c>
      <c r="E5" t="s">
        <v>26</v>
      </c>
      <c r="F5" t="s">
        <v>51</v>
      </c>
      <c r="G5">
        <v>37</v>
      </c>
      <c r="H5" s="4">
        <v>5</v>
      </c>
      <c r="I5" s="4">
        <v>5</v>
      </c>
      <c r="J5" s="4">
        <v>5</v>
      </c>
      <c r="K5">
        <v>4</v>
      </c>
      <c r="L5" s="4">
        <v>5</v>
      </c>
      <c r="M5">
        <v>4</v>
      </c>
      <c r="N5" s="4">
        <v>5</v>
      </c>
      <c r="O5">
        <v>4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 s="4">
        <v>4</v>
      </c>
      <c r="X5">
        <v>18</v>
      </c>
    </row>
    <row r="6" spans="1:24" x14ac:dyDescent="0.35">
      <c r="A6">
        <v>10</v>
      </c>
      <c r="B6" t="s">
        <v>55</v>
      </c>
      <c r="C6" t="s">
        <v>56</v>
      </c>
      <c r="D6" t="s">
        <v>34</v>
      </c>
      <c r="E6" t="s">
        <v>35</v>
      </c>
      <c r="F6" t="s">
        <v>57</v>
      </c>
      <c r="G6">
        <v>38</v>
      </c>
      <c r="H6" s="4">
        <v>5</v>
      </c>
      <c r="I6" s="4">
        <v>5</v>
      </c>
      <c r="J6" s="4">
        <v>5</v>
      </c>
      <c r="K6" s="4">
        <v>5</v>
      </c>
      <c r="L6" s="4">
        <v>5</v>
      </c>
      <c r="M6">
        <v>4</v>
      </c>
      <c r="N6" s="4">
        <v>5</v>
      </c>
      <c r="O6">
        <v>5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 s="4">
        <v>4</v>
      </c>
      <c r="X6">
        <v>11</v>
      </c>
    </row>
    <row r="7" spans="1:24" x14ac:dyDescent="0.35">
      <c r="A7">
        <v>12</v>
      </c>
      <c r="B7" t="s">
        <v>61</v>
      </c>
      <c r="C7" t="s">
        <v>62</v>
      </c>
      <c r="D7" t="s">
        <v>25</v>
      </c>
      <c r="E7" t="s">
        <v>26</v>
      </c>
      <c r="F7" t="s">
        <v>63</v>
      </c>
      <c r="G7">
        <v>27</v>
      </c>
      <c r="H7">
        <v>3</v>
      </c>
      <c r="I7">
        <v>4</v>
      </c>
      <c r="J7">
        <v>2</v>
      </c>
      <c r="K7">
        <v>4</v>
      </c>
      <c r="L7">
        <v>4</v>
      </c>
      <c r="M7">
        <v>4</v>
      </c>
      <c r="N7">
        <v>3</v>
      </c>
      <c r="O7">
        <v>3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3</v>
      </c>
      <c r="X7">
        <v>15</v>
      </c>
    </row>
    <row r="8" spans="1:24" ht="13.15" x14ac:dyDescent="0.35">
      <c r="G8" s="2" t="s">
        <v>66</v>
      </c>
      <c r="H8">
        <f>AVERAGE(H2:H7)</f>
        <v>4.333333333333333</v>
      </c>
      <c r="I8">
        <f t="shared" ref="I8:X8" si="0">AVERAGE(I2:I7)</f>
        <v>4.666666666666667</v>
      </c>
      <c r="J8">
        <f t="shared" si="0"/>
        <v>4.166666666666667</v>
      </c>
      <c r="K8">
        <f t="shared" si="0"/>
        <v>4.166666666666667</v>
      </c>
      <c r="L8">
        <f t="shared" si="0"/>
        <v>4.666666666666667</v>
      </c>
      <c r="M8">
        <f t="shared" si="0"/>
        <v>4.166666666666667</v>
      </c>
      <c r="N8">
        <f t="shared" si="0"/>
        <v>4.166666666666667</v>
      </c>
      <c r="O8" s="3" t="s">
        <v>69</v>
      </c>
      <c r="P8" s="4">
        <f t="shared" si="0"/>
        <v>1</v>
      </c>
      <c r="Q8">
        <f t="shared" si="0"/>
        <v>0.33333333333333331</v>
      </c>
      <c r="R8" s="4">
        <f t="shared" si="0"/>
        <v>0.66666666666666663</v>
      </c>
      <c r="S8" s="4">
        <f t="shared" si="0"/>
        <v>0.5</v>
      </c>
      <c r="T8" s="4">
        <f t="shared" si="0"/>
        <v>1</v>
      </c>
      <c r="U8">
        <f t="shared" si="0"/>
        <v>0</v>
      </c>
      <c r="V8">
        <f t="shared" si="0"/>
        <v>0</v>
      </c>
      <c r="W8">
        <f t="shared" si="0"/>
        <v>3.8333333333333335</v>
      </c>
      <c r="X8">
        <f t="shared" si="0"/>
        <v>14.5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269F-566D-4019-B0D1-85451FD24DBF}">
  <dimension ref="A1:X15"/>
  <sheetViews>
    <sheetView workbookViewId="0">
      <selection activeCell="H8" sqref="H8:X8"/>
    </sheetView>
  </sheetViews>
  <sheetFormatPr defaultRowHeight="12.75" x14ac:dyDescent="0.35"/>
  <cols>
    <col min="2" max="6" width="0" hidden="1" customWidth="1"/>
  </cols>
  <sheetData>
    <row r="1" spans="1:24" ht="13.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64</v>
      </c>
    </row>
    <row r="2" spans="1:24" x14ac:dyDescent="0.35">
      <c r="A2">
        <v>1</v>
      </c>
      <c r="B2" t="s">
        <v>28</v>
      </c>
      <c r="C2" t="s">
        <v>29</v>
      </c>
      <c r="D2" t="s">
        <v>30</v>
      </c>
      <c r="E2" t="s">
        <v>26</v>
      </c>
      <c r="F2" t="s">
        <v>31</v>
      </c>
      <c r="G2">
        <v>38</v>
      </c>
      <c r="H2" s="4">
        <v>5</v>
      </c>
      <c r="I2" s="4">
        <v>5</v>
      </c>
      <c r="J2">
        <v>4</v>
      </c>
      <c r="K2" s="4">
        <v>5</v>
      </c>
      <c r="L2" s="4">
        <v>5</v>
      </c>
      <c r="M2" s="4">
        <v>5</v>
      </c>
      <c r="N2" s="4">
        <v>5</v>
      </c>
      <c r="O2">
        <v>6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4</v>
      </c>
      <c r="X2">
        <v>17</v>
      </c>
    </row>
    <row r="3" spans="1:24" x14ac:dyDescent="0.35">
      <c r="A3">
        <v>3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26</v>
      </c>
      <c r="H3">
        <v>3</v>
      </c>
      <c r="I3">
        <v>2</v>
      </c>
      <c r="J3" s="4">
        <v>5</v>
      </c>
      <c r="K3" s="4">
        <v>4</v>
      </c>
      <c r="L3">
        <v>2</v>
      </c>
      <c r="M3">
        <v>3</v>
      </c>
      <c r="N3" s="4">
        <v>4</v>
      </c>
      <c r="O3">
        <v>2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3</v>
      </c>
      <c r="X3">
        <v>13</v>
      </c>
    </row>
    <row r="4" spans="1:24" x14ac:dyDescent="0.35">
      <c r="A4">
        <v>5</v>
      </c>
      <c r="B4" t="s">
        <v>40</v>
      </c>
      <c r="C4" t="s">
        <v>41</v>
      </c>
      <c r="D4" t="s">
        <v>34</v>
      </c>
      <c r="E4" t="s">
        <v>35</v>
      </c>
      <c r="F4" t="s">
        <v>42</v>
      </c>
      <c r="G4">
        <v>29</v>
      </c>
      <c r="H4" s="4">
        <v>4</v>
      </c>
      <c r="I4" s="4">
        <v>3</v>
      </c>
      <c r="J4" s="4">
        <v>5</v>
      </c>
      <c r="K4" s="4">
        <v>5</v>
      </c>
      <c r="L4">
        <v>2</v>
      </c>
      <c r="M4" s="4">
        <v>4</v>
      </c>
      <c r="N4">
        <v>2</v>
      </c>
      <c r="O4">
        <v>4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4</v>
      </c>
      <c r="X4">
        <v>16</v>
      </c>
    </row>
    <row r="5" spans="1:24" x14ac:dyDescent="0.35">
      <c r="A5">
        <v>7</v>
      </c>
      <c r="B5" t="s">
        <v>46</v>
      </c>
      <c r="C5" t="s">
        <v>47</v>
      </c>
      <c r="D5" t="s">
        <v>34</v>
      </c>
      <c r="E5" t="s">
        <v>35</v>
      </c>
      <c r="F5" t="s">
        <v>48</v>
      </c>
      <c r="G5">
        <v>25</v>
      </c>
      <c r="H5" s="4">
        <v>4</v>
      </c>
      <c r="I5">
        <v>2</v>
      </c>
      <c r="J5">
        <v>4</v>
      </c>
      <c r="K5">
        <v>3</v>
      </c>
      <c r="L5" s="4">
        <v>3</v>
      </c>
      <c r="M5">
        <v>3</v>
      </c>
      <c r="N5">
        <v>3</v>
      </c>
      <c r="O5">
        <v>2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3</v>
      </c>
      <c r="X5">
        <v>5</v>
      </c>
    </row>
    <row r="6" spans="1:24" x14ac:dyDescent="0.35">
      <c r="A6">
        <v>9</v>
      </c>
      <c r="B6" t="s">
        <v>52</v>
      </c>
      <c r="C6" t="s">
        <v>53</v>
      </c>
      <c r="D6" t="s">
        <v>34</v>
      </c>
      <c r="E6" t="s">
        <v>35</v>
      </c>
      <c r="F6" t="s">
        <v>54</v>
      </c>
      <c r="G6">
        <v>29</v>
      </c>
      <c r="H6" s="4">
        <v>4</v>
      </c>
      <c r="I6" s="4">
        <v>4</v>
      </c>
      <c r="J6" s="4">
        <v>5</v>
      </c>
      <c r="K6">
        <v>3</v>
      </c>
      <c r="L6" s="4">
        <v>3</v>
      </c>
      <c r="M6">
        <v>2</v>
      </c>
      <c r="N6" s="4">
        <v>5</v>
      </c>
      <c r="O6">
        <v>4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3</v>
      </c>
      <c r="X6">
        <v>13</v>
      </c>
    </row>
    <row r="7" spans="1:24" x14ac:dyDescent="0.35">
      <c r="A7">
        <v>11</v>
      </c>
      <c r="B7" t="s">
        <v>58</v>
      </c>
      <c r="C7" t="s">
        <v>59</v>
      </c>
      <c r="D7" t="s">
        <v>34</v>
      </c>
      <c r="E7" t="s">
        <v>35</v>
      </c>
      <c r="F7" t="s">
        <v>60</v>
      </c>
      <c r="G7">
        <v>29</v>
      </c>
      <c r="H7">
        <v>3</v>
      </c>
      <c r="I7" s="4">
        <v>3</v>
      </c>
      <c r="J7" s="4">
        <v>5</v>
      </c>
      <c r="K7" s="4">
        <v>5</v>
      </c>
      <c r="L7" s="4">
        <v>3</v>
      </c>
      <c r="M7">
        <v>3</v>
      </c>
      <c r="N7" s="4">
        <v>4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3</v>
      </c>
      <c r="X7">
        <v>12</v>
      </c>
    </row>
    <row r="8" spans="1:24" ht="13.15" x14ac:dyDescent="0.35">
      <c r="G8" s="2" t="s">
        <v>71</v>
      </c>
      <c r="H8">
        <f>AVERAGE(H2:H7)</f>
        <v>3.8333333333333335</v>
      </c>
      <c r="I8">
        <f t="shared" ref="I8:X8" si="0">AVERAGE(I2:I7)</f>
        <v>3.1666666666666665</v>
      </c>
      <c r="J8">
        <f t="shared" si="0"/>
        <v>4.666666666666667</v>
      </c>
      <c r="K8">
        <f t="shared" si="0"/>
        <v>4.166666666666667</v>
      </c>
      <c r="L8">
        <f t="shared" si="0"/>
        <v>3</v>
      </c>
      <c r="M8">
        <f t="shared" si="0"/>
        <v>3.3333333333333335</v>
      </c>
      <c r="N8">
        <f t="shared" si="0"/>
        <v>3.8333333333333335</v>
      </c>
      <c r="O8" s="3" t="s">
        <v>73</v>
      </c>
      <c r="P8" s="4">
        <f t="shared" si="0"/>
        <v>0.83333333333333337</v>
      </c>
      <c r="Q8">
        <f t="shared" si="0"/>
        <v>0.33333333333333331</v>
      </c>
      <c r="R8" s="4">
        <f t="shared" si="0"/>
        <v>0.83333333333333337</v>
      </c>
      <c r="S8">
        <f t="shared" si="0"/>
        <v>0.16666666666666666</v>
      </c>
      <c r="T8" s="4">
        <f t="shared" si="0"/>
        <v>0.66666666666666663</v>
      </c>
      <c r="U8">
        <f t="shared" si="0"/>
        <v>0</v>
      </c>
      <c r="V8">
        <f t="shared" si="0"/>
        <v>0</v>
      </c>
      <c r="W8">
        <f t="shared" si="0"/>
        <v>3.3333333333333335</v>
      </c>
      <c r="X8">
        <f t="shared" si="0"/>
        <v>12.666666666666666</v>
      </c>
    </row>
    <row r="15" spans="1:24" x14ac:dyDescent="0.35">
      <c r="I1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诗色</vt:lpstr>
      <vt:lpstr>搜韵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尧 柯</cp:lastModifiedBy>
  <dcterms:created xsi:type="dcterms:W3CDTF">2026-05-14T07:31:51Z</dcterms:created>
  <dcterms:modified xsi:type="dcterms:W3CDTF">2026-05-15T13:36:27Z</dcterms:modified>
  <cp:category/>
</cp:coreProperties>
</file>